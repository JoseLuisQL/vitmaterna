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dores MINSA" sheetId="1" state="visible" r:id="rId3"/>
    <sheet name="Seguimiento" sheetId="2" state="visible" r:id="rId4"/>
    <sheet name="Pacien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<sst xmlns="http://schemas.openxmlformats.org/spreadsheetml/2006/main" count="67" uniqueCount="45">
  <si>
    <t xml:space="preserve">VITMATERNA</t>
  </si>
  <si>
    <t xml:space="preserve">Indicadores normativos de salud materna</t>
  </si>
  <si>
    <t xml:space="preserve">Indicadores MINSA</t>
  </si>
  <si>
    <t xml:space="preserve">Avance de cada indicador frente a su meta. La brecha es Meta − Avance.</t>
  </si>
  <si>
    <t xml:space="preserve">Indicador</t>
  </si>
  <si>
    <t xml:space="preserve">Avance</t>
  </si>
  <si>
    <t xml:space="preserve">Meta</t>
  </si>
  <si>
    <t xml:space="preserve">Brecha</t>
  </si>
  <si>
    <t xml:space="preserve">Estado</t>
  </si>
  <si>
    <t xml:space="preserve">Gestantes con 6+ controles</t>
  </si>
  <si>
    <t xml:space="preserve">Inicio en 1° trimestre</t>
  </si>
  <si>
    <t xml:space="preserve">Adherencia 80%+ a suplementos</t>
  </si>
  <si>
    <t xml:space="preserve">Gestantes con 8+ controles</t>
  </si>
  <si>
    <t xml:space="preserve">Promedio de avance</t>
  </si>
  <si>
    <t xml:space="preserve">Seguimiento de controles, suplementación y vacunas</t>
  </si>
  <si>
    <t xml:space="preserve">Seguimiento y adherencia</t>
  </si>
  <si>
    <t xml:space="preserve">Indicadores operativos del programa de control prenatal.</t>
  </si>
  <si>
    <t xml:space="preserve">Controles prenatales</t>
  </si>
  <si>
    <t xml:space="preserve">Métrica</t>
  </si>
  <si>
    <t xml:space="preserve">Valor</t>
  </si>
  <si>
    <t xml:space="preserve">Gestantes activas</t>
  </si>
  <si>
    <t xml:space="preserve">—</t>
  </si>
  <si>
    <t xml:space="preserve">Promedio de controles por gestante</t>
  </si>
  <si>
    <t xml:space="preserve">Gestantes con 8+ controles (OMS)</t>
  </si>
  <si>
    <t xml:space="preserve">Captación temprana (1.er trimestre)</t>
  </si>
  <si>
    <t xml:space="preserve">Citas totales</t>
  </si>
  <si>
    <t xml:space="preserve">Citas asistidas</t>
  </si>
  <si>
    <t xml:space="preserve">Tasa de asistencia</t>
  </si>
  <si>
    <t xml:space="preserve">Suplementación y vacunas</t>
  </si>
  <si>
    <t xml:space="preserve">Tratamientos evaluados</t>
  </si>
  <si>
    <t xml:space="preserve">Adherencia promedio</t>
  </si>
  <si>
    <t xml:space="preserve">Buena adherencia (≥80%)</t>
  </si>
  <si>
    <t xml:space="preserve">Tratamientos completados</t>
  </si>
  <si>
    <t xml:space="preserve">Vacunas programadas</t>
  </si>
  <si>
    <t xml:space="preserve">Vacunas aplicadas</t>
  </si>
  <si>
    <t xml:space="preserve">Cobertura de vacunación</t>
  </si>
  <si>
    <t xml:space="preserve">Gestante</t>
  </si>
  <si>
    <t xml:space="preserve">Adherencia</t>
  </si>
  <si>
    <t xml:space="preserve">Nivel de riesgo</t>
  </si>
  <si>
    <t xml:space="preserve">Estado de adherencia</t>
  </si>
  <si>
    <t xml:space="preserve">Lucía Sánchez</t>
  </si>
  <si>
    <t xml:space="preserve">Alto</t>
  </si>
  <si>
    <t xml:space="preserve">Ana Gómez</t>
  </si>
  <si>
    <t xml:space="preserve">Bajo</t>
  </si>
  <si>
    <t xml:space="preserve">María Elena Quispe Ramos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</si>
</sst>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%;\(0.0%\);\-"/>
    <numFmt numFmtId="167" formatCode="0%"/>
    <numFmt numFmtId="168" formatCode="#,##0;\(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sz val="9"/>
      <color rgb="FFBFE0DB"/>
      <name val="Calibri"/>
      <family val="0"/>
      <charset val="1"/>
    </font>
    <font>
      <b val="true"/>
      <sz val="16"/>
      <color rgb="FF16242B"/>
      <name val="Calibri"/>
      <family val="0"/>
      <charset val="1"/>
    </font>
    <font>
      <i val="true"/>
      <sz val="9"/>
      <color rgb="FF56687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6242B"/>
      <name val="Calibri"/>
      <family val="0"/>
      <charset val="1"/>
    </font>
    <font>
      <sz val="10"/>
      <color rgb="FF566873"/>
      <name val="Calibri"/>
      <family val="0"/>
      <charset val="1"/>
    </font>
    <font>
      <b val="true"/>
      <sz val="10"/>
      <color rgb="FF16242B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0A6B60"/>
      <name val="Calibri"/>
      <family val="0"/>
      <charset val="1"/>
    </font>
    <font>
      <sz val="10"/>
      <color rgb="FF8A9AA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323A"/>
        <bgColor rgb="FF16242B"/>
      </patternFill>
    </fill>
    <fill>
      <patternFill patternType="solid">
        <fgColor rgb="FF0C8174"/>
        <bgColor rgb="FF0A6B60"/>
      </patternFill>
    </fill>
    <fill>
      <patternFill patternType="solid">
        <fgColor rgb="FF0A6B60"/>
        <bgColor rgb="FF0C817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5E4"/>
      </left>
      <right style="thin">
        <color rgb="FFDCE5E4"/>
      </right>
      <top style="thin">
        <color rgb="FFDCE5E4"/>
      </top>
      <bottom style="thin">
        <color rgb="FFDCE5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C817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4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66873"/>
          <bgColor rgb="FF000000"/>
        </patternFill>
      </fill>
    </dxf>
    <dxf>
      <fill>
        <patternFill patternType="solid">
          <fgColor rgb="FFFBEDED"/>
          <bgColor rgb="FF000000"/>
        </patternFill>
      </fill>
    </dxf>
    <dxf>
      <fill>
        <patternFill patternType="solid">
          <fgColor rgb="FFFBF4E5"/>
          <bgColor rgb="FF000000"/>
        </patternFill>
      </fill>
    </dxf>
    <dxf>
      <fill>
        <patternFill patternType="solid">
          <fgColor rgb="FFB07A14"/>
          <bgColor rgb="FF000000"/>
        </patternFill>
      </fill>
    </dxf>
    <dxf>
      <fill>
        <patternFill patternType="solid">
          <fgColor rgb="FFD64545"/>
          <bgColor rgb="FF000000"/>
        </patternFill>
      </fill>
    </dxf>
    <dxf>
      <font>
        <b val="1"/>
        <color rgb="FF1F9D6B"/>
      </font>
      <fill>
        <patternFill>
          <bgColor rgb="FFEAF7F0"/>
        </patternFill>
      </fill>
    </dxf>
    <dxf>
      <font>
        <b val="1"/>
        <color rgb="FFD64545"/>
      </font>
      <fill>
        <patternFill>
          <bgColor rgb="FFFBEDED"/>
        </patternFill>
      </fill>
    </dxf>
    <dxf>
      <font>
        <b val="1"/>
        <color rgb="FFB07A14"/>
      </font>
      <fill>
        <patternFill>
          <bgColor rgb="FFFBF4E5"/>
        </patternFill>
      </fill>
    </dxf>
    <dxf>
      <fill>
        <patternFill patternType="solid">
          <fgColor rgb="FF8A9AA1"/>
          <bgColor rgb="FF000000"/>
        </patternFill>
      </fill>
    </dxf>
    <dxf>
      <fill>
        <patternFill patternType="solid">
          <fgColor rgb="FFEAF7F0"/>
          <bgColor rgb="FF000000"/>
        </patternFill>
      </fill>
    </dxf>
    <dxf>
      <fill>
        <patternFill patternType="solid">
          <fgColor rgb="FF1F9D6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A14"/>
      <rgbColor rgb="FF800080"/>
      <rgbColor rgb="FF0C8174"/>
      <rgbColor rgb="FFC6D0D3"/>
      <rgbColor rgb="FF878787"/>
      <rgbColor rgb="FF9999FF"/>
      <rgbColor rgb="FFD64545"/>
      <rgbColor rgb="FFFBF4E5"/>
      <rgbColor rgb="FFEAF7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A6B60"/>
      <rgbColor rgb="FF0000FF"/>
      <rgbColor rgb="FF00CCFF"/>
      <rgbColor rgb="FFBFE0DB"/>
      <rgbColor rgb="FFDCE5E4"/>
      <rgbColor rgb="FFFBEDE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873"/>
      <rgbColor rgb="FF8A9AA1"/>
      <rgbColor rgb="FF003366"/>
      <rgbColor rgb="FF1F9D6B"/>
      <rgbColor rgb="FF16242B"/>
      <rgbColor rgb="FF333300"/>
      <rgbColor rgb="FF993300"/>
      <rgbColor rgb="FF993366"/>
      <rgbColor rgb="FF333399"/>
      <rgbColor rgb="FF163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Avance vs. meta por indicador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'Indicadores MINSA'!C8</c:f>
              <c:strCache>
                <c:ptCount val="1"/>
                <c:pt idx="0">
                  <c:v>Avance</c:v>
                </c:pt>
              </c:strCache>
            </c:strRef>
          </c:tx>
          <c:spPr>
            <a:solidFill>
              <a:srgbClr val="0c817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'Indicadores MINSA'!$B$9:$B$12</c:f>
              <c:strCache>
                <c:ptCount val="4"/>
                <c:pt idx="0">
                  <c:v>Gestantes con 6+ controles</c:v>
                </c:pt>
                <c:pt idx="1">
                  <c:v>Inicio en 1° trimestre</c:v>
                </c:pt>
                <c:pt idx="2">
                  <c:v>Adherencia 80%+ a suplementos</c:v>
                </c:pt>
                <c:pt idx="3">
                  <c:v>Gestantes con 8+ controles</c:v>
                </c:pt>
              </c:strCache>
            </c:strRef>
          </c:cat>
          <c:val>
            <c:numRef>
              <c:f>'Indicadores MINSA'!$C$9:$C$12</c:f>
              <c:numCache>
                <c:formatCode>0.0%</c:formatCode>
                <c:ptCount val="4"/>
                <c:pt idx="0">
                  <c:v>0.33</c:v>
                </c:pt>
                <c:pt idx="1">
                  <c:v>0</c:v>
                </c:pt>
                <c:pt idx="2">
                  <c:v>0.67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'Indicadores MINSA'!D8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6d0d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'Indicadores MINSA'!$B$9:$B$12</c:f>
              <c:strCache>
                <c:ptCount val="4"/>
                <c:pt idx="0">
                  <c:v>Gestantes con 6+ controles</c:v>
                </c:pt>
                <c:pt idx="1">
                  <c:v>Inicio en 1° trimestre</c:v>
                </c:pt>
                <c:pt idx="2">
                  <c:v>Adherencia 80%+ a suplementos</c:v>
                </c:pt>
                <c:pt idx="3">
                  <c:v>Gestantes con 8+ controles</c:v>
                </c:pt>
              </c:strCache>
            </c:strRef>
          </c:cat>
          <c:val>
            <c:numRef>
              <c:f>'Indicadores MINSA'!$D$9:$D$12</c:f>
              <c:numCache>
                <c:formatCode>0.0%</c:formatCode>
                <c:ptCount val="4"/>
                <c:pt idx="0">
                  <c:v>0.8</c:v>
                </c:pt>
                <c:pt idx="1">
                  <c:v>0.7</c:v>
                </c:pt>
                <c:pt idx="2">
                  <c:v>0.75</c:v>
                </c:pt>
                <c:pt idx="3">
                  <c:v>0.6</c:v>
                </c:pt>
              </c:numCache>
            </c:numRef>
          </c:val>
        </c:ser>
        <c:gapWidth val="150"/>
        <c:overlap val="0"/>
        <c:axId val="5998262"/>
        <c:axId val="60470136"/>
      </c:barChart>
      <c:catAx>
        <c:axId val="59982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70136"/>
        <c:crosses val="autoZero"/>
        <c:auto val="1"/>
        <c:lblAlgn val="ctr"/>
        <c:lblOffset val="100"/>
        <c:noMultiLvlLbl val="0"/>
      </c:catAx>
      <c:valAx>
        <c:axId val="604701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82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130680</xdr:rowOff>
    </xdr:from>
    <xdr:to>
      <xdr:col>4</xdr:col>
      <xdr:colOff>1150200</xdr:colOff>
      <xdr:row>30</xdr:row>
      <xdr:rowOff>142560</xdr:rowOff>
    </xdr:to>
    <xdr:graphicFrame>
      <xdr:nvGraphicFramePr>
        <xdr:cNvPr id="0" name="Chart 1"/>
        <xdr:cNvGraphicFramePr/>
      </xdr:nvGraphicFramePr>
      <xdr:xfrm>
        <a:off x="177840" y="2886120"/>
        <a:ext cx="68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285480</xdr:colOff>
      <xdr:row>2</xdr:row>
      <xdr:rowOff>75960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77840" y="0"/>
          <a:ext cx="28548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285480</xdr:colOff>
      <xdr:row>2</xdr:row>
      <xdr:rowOff>75960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77840" y="0"/>
          <a:ext cx="28548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IndicadoresMINSA" displayName="IndicadoresMINSA" ref="B8:F12" headerRowCount="1" totalsRowCount="0" totalsRowShown="0">
  <autoFilter ref="B8:F12"/>
  <tableColumns count="5">
    <tableColumn id="1" name="Indicador"/>
    <tableColumn id="2" name="Avance"/>
    <tableColumn id="3" name="Meta"/>
    <tableColumn id="4" name="Brecha"/>
    <tableColumn id="5" name="Estado"/>
  </tableColumns>
  <tableStyleInfo name="TableStyleMedium9" showRowStripes="1"/>
</table>
</file>

<file path=xl/tables/table2.xml><?xml version="1.0" encoding="utf-8"?>
<table xmlns="http://schemas.openxmlformats.org/spreadsheetml/2006/main" id="2" name="Pacientes" displayName="Pacientes" ref="A1:D4" headerRowCount="1" totalsRowCount="0" totalsRowShown="0">
  <autoFilter ref="A1:D4"/>
  <tableColumns count="4">
    <tableColumn id="1" name="Gestante"/>
    <tableColumn id="2" name="Adherencia"/>
    <tableColumn id="3" name="Nivel de riesgo"/>
    <tableColumn id="4" name="Estado de adherencia"/>
  </tableColumns>
  <tableStyleInfo name="TableStyleMedium9" showRowStripes="1"/>
</table>
</file>

<file path=xl/tables/table3.xml><?xml version="1.0" encoding="utf-8"?>
<table xmlns="http://schemas.openxmlformats.org/spreadsheetml/2006/main" id="3" name="SeguimientoAdherencia" displayName="SeguimientoAdherencia" ref="B21:E28" headerRowCount="1" totalsRowCount="0" totalsRowShown="0">
  <autoFilter ref="B21:E28"/>
  <tableColumns count="4">
    <tableColumn id="1" name="Métrica"/>
    <tableColumn id="2" name="Valor"/>
    <tableColumn id="3" name="Meta"/>
    <tableColumn id="4" name="Estado"/>
  </tableColumns>
  <tableStyleInfo name="TableStyleMedium9" showRowStripes="1"/>
</table>
</file>

<file path=xl/tables/table4.xml><?xml version="1.0" encoding="utf-8"?>
<table xmlns="http://schemas.openxmlformats.org/spreadsheetml/2006/main" id="4" name="SeguimientoControles" displayName="SeguimientoControles" ref="B9:E17" headerRowCount="1" totalsRowCount="0" totalsRowShown="0">
  <autoFilter ref="B9:E17"/>
  <tableColumns count="4">
    <tableColumn id="1" name="Métrica"/>
    <tableColumn id="2" name="Valor"/>
    <tableColumn id="3" name="Meta"/>
    <tableColumn id="4" name="Estado"/>
  </tableColumns>
  <tableStyleInfo name="TableStyleMedium9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</row>
    <row r="2" customFormat="false" ht="25.5" hidden="false" customHeight="true" outlineLevel="0" collapsed="false">
      <c r="A2" s="1"/>
      <c r="B2" s="2" t="s">
        <v>0</v>
      </c>
      <c r="C2" s="2"/>
      <c r="D2" s="2"/>
      <c r="E2" s="2"/>
      <c r="F2" s="2"/>
    </row>
    <row r="3" customFormat="false" ht="18" hidden="false" customHeight="true" outlineLevel="0" collapsed="false">
      <c r="A3" s="1"/>
      <c r="B3" s="3" t="s">
        <v>1</v>
      </c>
      <c r="C3" s="3"/>
      <c r="D3" s="3"/>
      <c r="E3" s="3"/>
      <c r="F3" s="3"/>
    </row>
    <row r="4" customFormat="false" ht="6" hidden="false" customHeight="true" outlineLevel="0" collapsed="false">
      <c r="A4" s="1"/>
      <c r="B4" s="1"/>
      <c r="C4" s="1"/>
      <c r="D4" s="1"/>
      <c r="E4" s="1"/>
      <c r="F4" s="1"/>
    </row>
    <row r="5" customFormat="false" ht="19.7" hidden="false" customHeight="false" outlineLevel="0" collapsed="false">
      <c r="B5" s="4" t="s">
        <v>2</v>
      </c>
      <c r="C5" s="4"/>
      <c r="D5" s="4"/>
      <c r="E5" s="4"/>
      <c r="F5" s="4"/>
    </row>
    <row r="6" customFormat="false" ht="15" hidden="false" customHeight="false" outlineLevel="0" collapsed="false">
      <c r="B6" s="5" t="s">
        <v>3</v>
      </c>
      <c r="C6" s="5"/>
      <c r="D6" s="5"/>
      <c r="E6" s="5"/>
      <c r="F6" s="5"/>
    </row>
    <row r="8" customFormat="false" ht="21.75" hidden="false" customHeight="true" outlineLevel="0" collapsed="false">
      <c r="B8" s="6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customFormat="false" ht="15" hidden="false" customHeight="false" outlineLevel="0" collapsed="false">
      <c r="B9" s="8" t="s">
        <v>9</v>
      </c>
      <c r="C9" s="9" t="n">
        <v>0.33</v>
      </c>
      <c r="D9" s="10" t="n">
        <v>0.8</v>
      </c>
      <c r="E9" s="11" t="n">
        <f aca="false">D9-C9</f>
        <v>0.47</v>
      </c>
      <c r="F9" s="12" t="str">
        <f aca="false">IF(C9&gt;=D9,"Cumple",IF(C9&gt;=D9*0.85,"Atención","Por debajo"))</f>
        <v>Por debajo</v>
      </c>
    </row>
    <row r="10" customFormat="false" ht="15" hidden="false" customHeight="false" outlineLevel="0" collapsed="false">
      <c r="B10" s="8" t="s">
        <v>10</v>
      </c>
      <c r="C10" s="9" t="n">
        <v>0</v>
      </c>
      <c r="D10" s="10" t="n">
        <v>0.7</v>
      </c>
      <c r="E10" s="11" t="n">
        <f aca="false">D10-C10</f>
        <v>0.7</v>
      </c>
      <c r="F10" s="12" t="str">
        <f aca="false">IF(C10&gt;=D10,"Cumple",IF(C10&gt;=D10*0.85,"Atención","Por debajo"))</f>
        <v>Por debajo</v>
      </c>
    </row>
    <row r="11" customFormat="false" ht="15" hidden="false" customHeight="false" outlineLevel="0" collapsed="false">
      <c r="B11" s="8" t="s">
        <v>11</v>
      </c>
      <c r="C11" s="9" t="n">
        <v>0.67</v>
      </c>
      <c r="D11" s="10" t="n">
        <v>0.75</v>
      </c>
      <c r="E11" s="11" t="n">
        <f aca="false">D11-C11</f>
        <v>0.08</v>
      </c>
      <c r="F11" s="12" t="str">
        <f aca="false">IF(C11&gt;=D11,"Cumple",IF(C11&gt;=D11*0.85,"Atención","Por debajo"))</f>
        <v>Atención</v>
      </c>
    </row>
    <row r="12" customFormat="false" ht="15" hidden="false" customHeight="false" outlineLevel="0" collapsed="false">
      <c r="B12" s="8" t="s">
        <v>12</v>
      </c>
      <c r="C12" s="9" t="n">
        <v>0</v>
      </c>
      <c r="D12" s="10" t="n">
        <v>0.6</v>
      </c>
      <c r="E12" s="11" t="n">
        <f aca="false">D12-C12</f>
        <v>0.6</v>
      </c>
      <c r="F12" s="12" t="str">
        <f aca="false">IF(C12&gt;=D12,"Cumple",IF(C12&gt;=D12*0.85,"Atención","Por debajo"))</f>
        <v>Por debajo</v>
      </c>
    </row>
    <row r="13" customFormat="false" ht="15" hidden="false" customHeight="false" outlineLevel="0" collapsed="false">
      <c r="B13" s="13" t="s">
        <v>13</v>
      </c>
      <c r="C13" s="14" t="n">
        <f aca="false">AVERAGE(C9:C12)</f>
        <v>0.25</v>
      </c>
      <c r="D13" s="15"/>
      <c r="E13" s="15"/>
      <c r="F13" s="15"/>
    </row>
  </sheetData>
  <mergeCells count="4">
    <mergeCell ref="B2:F2"/>
    <mergeCell ref="B3:F3"/>
    <mergeCell ref="B5:F5"/>
    <mergeCell ref="B6:F6"/>
  </mergeCells>
  <conditionalFormatting sqref="F9:F12">
    <cfRule type="cellIs" priority="2" operator="equal" aboveAverage="0" equalAverage="0" bottom="0" percent="0" rank="0" text="" dxfId="9">
      <formula>"Cumple"</formula>
    </cfRule>
    <cfRule type="cellIs" priority="3" operator="equal" aboveAverage="0" equalAverage="0" bottom="0" percent="0" rank="0" text="" dxfId="10">
      <formula>"Por debajo"</formula>
    </cfRule>
    <cfRule type="cellIs" priority="4" operator="equal" aboveAverage="0" equalAverage="0" bottom="0" percent="0" rank="0" text="" dxfId="11">
      <formula>"Atención"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6" hidden="false" customHeight="true" outlineLevel="0" collapsed="false">
      <c r="A1" s="1"/>
      <c r="B1" s="1"/>
      <c r="C1" s="1"/>
      <c r="D1" s="1"/>
      <c r="E1" s="1"/>
    </row>
    <row r="2" customFormat="false" ht="25.5" hidden="false" customHeight="true" outlineLevel="0" collapsed="false">
      <c r="A2" s="1"/>
      <c r="B2" s="2" t="s">
        <v>0</v>
      </c>
      <c r="C2" s="2"/>
      <c r="D2" s="2"/>
      <c r="E2" s="2"/>
    </row>
    <row r="3" customFormat="false" ht="18" hidden="false" customHeight="true" outlineLevel="0" collapsed="false">
      <c r="A3" s="1"/>
      <c r="B3" s="3" t="s">
        <v>14</v>
      </c>
      <c r="C3" s="3"/>
      <c r="D3" s="3"/>
      <c r="E3" s="3"/>
    </row>
    <row r="4" customFormat="false" ht="6" hidden="false" customHeight="true" outlineLevel="0" collapsed="false">
      <c r="A4" s="1"/>
      <c r="B4" s="1"/>
      <c r="C4" s="1"/>
      <c r="D4" s="1"/>
      <c r="E4" s="1"/>
    </row>
    <row r="5" customFormat="false" ht="19.7" hidden="false" customHeight="false" outlineLevel="0" collapsed="false">
      <c r="B5" s="4" t="s">
        <v>15</v>
      </c>
      <c r="C5" s="4"/>
      <c r="D5" s="4"/>
      <c r="E5" s="4"/>
    </row>
    <row r="6" customFormat="false" ht="15" hidden="false" customHeight="false" outlineLevel="0" collapsed="false">
      <c r="B6" s="5" t="s">
        <v>16</v>
      </c>
      <c r="C6" s="5"/>
      <c r="D6" s="5"/>
      <c r="E6" s="5"/>
    </row>
    <row r="8" customFormat="false" ht="15" hidden="false" customHeight="false" outlineLevel="0" collapsed="false">
      <c r="B8" s="16" t="s">
        <v>17</v>
      </c>
      <c r="C8" s="16"/>
      <c r="D8" s="16"/>
      <c r="E8" s="16"/>
    </row>
    <row r="9" customFormat="false" ht="19.5" hidden="false" customHeight="true" outlineLevel="0" collapsed="false">
      <c r="B9" s="6" t="s">
        <v>18</v>
      </c>
      <c r="C9" s="7" t="s">
        <v>19</v>
      </c>
      <c r="D9" s="7" t="s">
        <v>6</v>
      </c>
      <c r="E9" s="7" t="s">
        <v>8</v>
      </c>
    </row>
    <row r="10" customFormat="false" ht="15" hidden="false" customHeight="false" outlineLevel="0" collapsed="false">
      <c r="B10" s="8" t="s">
        <v>20</v>
      </c>
      <c r="C10" s="17" t="n">
        <v>3</v>
      </c>
      <c r="D10" s="18" t="s">
        <v>21</v>
      </c>
      <c r="E10" s="18" t="s">
        <v>21</v>
      </c>
    </row>
    <row r="11" customFormat="false" ht="15" hidden="false" customHeight="false" outlineLevel="0" collapsed="false">
      <c r="B11" s="8" t="s">
        <v>22</v>
      </c>
      <c r="C11" s="17" t="n">
        <v>2</v>
      </c>
      <c r="D11" s="18" t="s">
        <v>21</v>
      </c>
      <c r="E11" s="18" t="s">
        <v>21</v>
      </c>
    </row>
    <row r="12" customFormat="false" ht="15" hidden="false" customHeight="false" outlineLevel="0" collapsed="false">
      <c r="B12" s="8" t="s">
        <v>9</v>
      </c>
      <c r="C12" s="19" t="n">
        <v>0.33</v>
      </c>
      <c r="D12" s="10" t="n">
        <v>0.8</v>
      </c>
      <c r="E12" s="12" t="str">
        <f aca="false">IF(C12&gt;=D12,"Cumple",IF(C12&gt;=D12*0.85,"Atención","Por debajo"))</f>
        <v>Por debajo</v>
      </c>
    </row>
    <row r="13" customFormat="false" ht="15" hidden="false" customHeight="false" outlineLevel="0" collapsed="false">
      <c r="B13" s="8" t="s">
        <v>23</v>
      </c>
      <c r="C13" s="19" t="n">
        <v>0</v>
      </c>
      <c r="D13" s="10" t="n">
        <v>0.6</v>
      </c>
      <c r="E13" s="12" t="str">
        <f aca="false">IF(C13&gt;=D13,"Cumple",IF(C13&gt;=D13*0.85,"Atención","Por debajo"))</f>
        <v>Por debajo</v>
      </c>
    </row>
    <row r="14" customFormat="false" ht="15" hidden="false" customHeight="false" outlineLevel="0" collapsed="false">
      <c r="B14" s="8" t="s">
        <v>24</v>
      </c>
      <c r="C14" s="19" t="n">
        <v>0</v>
      </c>
      <c r="D14" s="10" t="n">
        <v>0.7</v>
      </c>
      <c r="E14" s="12" t="str">
        <f aca="false">IF(C14&gt;=D14,"Cumple",IF(C14&gt;=D14*0.85,"Atención","Por debajo"))</f>
        <v>Por debajo</v>
      </c>
    </row>
    <row r="15" customFormat="false" ht="15" hidden="false" customHeight="false" outlineLevel="0" collapsed="false">
      <c r="B15" s="8" t="s">
        <v>25</v>
      </c>
      <c r="C15" s="17" t="n">
        <v>8</v>
      </c>
      <c r="D15" s="18" t="s">
        <v>21</v>
      </c>
      <c r="E15" s="18" t="s">
        <v>21</v>
      </c>
    </row>
    <row r="16" customFormat="false" ht="15" hidden="false" customHeight="false" outlineLevel="0" collapsed="false">
      <c r="B16" s="8" t="s">
        <v>26</v>
      </c>
      <c r="C16" s="17" t="n">
        <v>6</v>
      </c>
      <c r="D16" s="18" t="s">
        <v>21</v>
      </c>
      <c r="E16" s="18" t="s">
        <v>21</v>
      </c>
    </row>
    <row r="17" customFormat="false" ht="15" hidden="false" customHeight="false" outlineLevel="0" collapsed="false">
      <c r="B17" s="8" t="s">
        <v>27</v>
      </c>
      <c r="C17" s="19" t="n">
        <v>0.75</v>
      </c>
      <c r="D17" s="10" t="n">
        <v>0.85</v>
      </c>
      <c r="E17" s="12" t="str">
        <f aca="false">IF(C17&gt;=D17,"Cumple",IF(C17&gt;=D17*0.85,"Atención","Por debajo"))</f>
        <v>Atención</v>
      </c>
    </row>
    <row r="20" customFormat="false" ht="15" hidden="false" customHeight="false" outlineLevel="0" collapsed="false">
      <c r="B20" s="16" t="s">
        <v>28</v>
      </c>
      <c r="C20" s="16"/>
      <c r="D20" s="16"/>
      <c r="E20" s="16"/>
    </row>
    <row r="21" customFormat="false" ht="19.5" hidden="false" customHeight="true" outlineLevel="0" collapsed="false">
      <c r="B21" s="6" t="s">
        <v>18</v>
      </c>
      <c r="C21" s="7" t="s">
        <v>19</v>
      </c>
      <c r="D21" s="7" t="s">
        <v>6</v>
      </c>
      <c r="E21" s="7" t="s">
        <v>8</v>
      </c>
    </row>
    <row r="22" customFormat="false" ht="15" hidden="false" customHeight="false" outlineLevel="0" collapsed="false">
      <c r="B22" s="8" t="s">
        <v>29</v>
      </c>
      <c r="C22" s="17" t="n">
        <v>2</v>
      </c>
      <c r="D22" s="18" t="s">
        <v>21</v>
      </c>
      <c r="E22" s="18" t="s">
        <v>21</v>
      </c>
    </row>
    <row r="23" customFormat="false" ht="15" hidden="false" customHeight="false" outlineLevel="0" collapsed="false">
      <c r="B23" s="8" t="s">
        <v>30</v>
      </c>
      <c r="C23" s="19" t="n">
        <v>0.71</v>
      </c>
      <c r="D23" s="10" t="n">
        <v>0.75</v>
      </c>
      <c r="E23" s="12" t="str">
        <f aca="false">IF(C23&gt;=D23,"Cumple",IF(C23&gt;=D23*0.85,"Atención","Por debajo"))</f>
        <v>Atención</v>
      </c>
    </row>
    <row r="24" customFormat="false" ht="15" hidden="false" customHeight="false" outlineLevel="0" collapsed="false">
      <c r="B24" s="8" t="s">
        <v>31</v>
      </c>
      <c r="C24" s="19" t="n">
        <v>0.5</v>
      </c>
      <c r="D24" s="10" t="n">
        <v>0.75</v>
      </c>
      <c r="E24" s="12" t="str">
        <f aca="false">IF(C24&gt;=D24,"Cumple",IF(C24&gt;=D24*0.85,"Atención","Por debajo"))</f>
        <v>Por debajo</v>
      </c>
    </row>
    <row r="25" customFormat="false" ht="15" hidden="false" customHeight="false" outlineLevel="0" collapsed="false">
      <c r="B25" s="8" t="s">
        <v>32</v>
      </c>
      <c r="C25" s="19" t="n">
        <v>0</v>
      </c>
      <c r="D25" s="10" t="n">
        <v>0.7</v>
      </c>
      <c r="E25" s="12" t="str">
        <f aca="false">IF(C25&gt;=D25,"Cumple",IF(C25&gt;=D25*0.85,"Atención","Por debajo"))</f>
        <v>Por debajo</v>
      </c>
    </row>
    <row r="26" customFormat="false" ht="15" hidden="false" customHeight="false" outlineLevel="0" collapsed="false">
      <c r="B26" s="8" t="s">
        <v>33</v>
      </c>
      <c r="C26" s="17" t="n">
        <v>1</v>
      </c>
      <c r="D26" s="18" t="s">
        <v>21</v>
      </c>
      <c r="E26" s="18" t="s">
        <v>21</v>
      </c>
    </row>
    <row r="27" customFormat="false" ht="15" hidden="false" customHeight="false" outlineLevel="0" collapsed="false">
      <c r="B27" s="8" t="s">
        <v>34</v>
      </c>
      <c r="C27" s="17" t="n">
        <v>0</v>
      </c>
      <c r="D27" s="18" t="s">
        <v>21</v>
      </c>
      <c r="E27" s="18" t="s">
        <v>21</v>
      </c>
    </row>
    <row r="28" customFormat="false" ht="15" hidden="false" customHeight="false" outlineLevel="0" collapsed="false">
      <c r="B28" s="8" t="s">
        <v>35</v>
      </c>
      <c r="C28" s="19" t="n">
        <v>0</v>
      </c>
      <c r="D28" s="10" t="n">
        <v>0.8</v>
      </c>
      <c r="E28" s="12" t="str">
        <f aca="false">IF(C28&gt;=D28,"Cumple",IF(C28&gt;=D28*0.85,"Atención","Por debajo"))</f>
        <v>Por debajo</v>
      </c>
    </row>
  </sheetData>
  <mergeCells count="6">
    <mergeCell ref="B2:E2"/>
    <mergeCell ref="B3:E3"/>
    <mergeCell ref="B5:E5"/>
    <mergeCell ref="B6:E6"/>
    <mergeCell ref="B8:E8"/>
    <mergeCell ref="B20:E20"/>
  </mergeCells>
  <conditionalFormatting sqref="E10:E17">
    <cfRule type="cellIs" priority="2" operator="equal" aboveAverage="0" equalAverage="0" bottom="0" percent="0" rank="0" text="" dxfId="9">
      <formula>"Cumple"</formula>
    </cfRule>
    <cfRule type="cellIs" priority="3" operator="equal" aboveAverage="0" equalAverage="0" bottom="0" percent="0" rank="0" text="" dxfId="10">
      <formula>"Por debajo"</formula>
    </cfRule>
    <cfRule type="cellIs" priority="4" operator="equal" aboveAverage="0" equalAverage="0" bottom="0" percent="0" rank="0" text="" dxfId="11">
      <formula>"Atención"</formula>
    </cfRule>
  </conditionalFormatting>
  <conditionalFormatting sqref="E22:E28">
    <cfRule type="cellIs" priority="5" operator="equal" aboveAverage="0" equalAverage="0" bottom="0" percent="0" rank="0" text="" dxfId="9">
      <formula>"Cumple"</formula>
    </cfRule>
    <cfRule type="cellIs" priority="6" operator="equal" aboveAverage="0" equalAverage="0" bottom="0" percent="0" rank="0" text="" dxfId="10">
      <formula>"Por debajo"</formula>
    </cfRule>
    <cfRule type="cellIs" priority="7" operator="equal" aboveAverage="0" equalAverage="0" bottom="0" percent="0" rank="0" text="" dxfId="11">
      <formula>"Atención"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20" t="s">
        <v>36</v>
      </c>
      <c r="B1" s="21" t="s">
        <v>37</v>
      </c>
      <c r="C1" s="21" t="s">
        <v>38</v>
      </c>
      <c r="D1" s="21" t="s">
        <v>39</v>
      </c>
    </row>
    <row r="2" customFormat="false" ht="15" hidden="false" customHeight="false" outlineLevel="0" collapsed="false">
      <c r="A2" s="22" t="s">
        <v>40</v>
      </c>
      <c r="B2" s="23" t="n">
        <v>0.56</v>
      </c>
      <c r="C2" s="24" t="s">
        <v>41</v>
      </c>
      <c r="D2" s="25" t="str">
        <f aca="false">IF(B2&gt;=0.8,"Buena",IF(B2&gt;=0.5,"Regular","Baja"))</f>
        <v>Regular</v>
      </c>
    </row>
    <row r="3" customFormat="false" ht="15" hidden="false" customHeight="false" outlineLevel="0" collapsed="false">
      <c r="A3" s="22" t="s">
        <v>42</v>
      </c>
      <c r="B3" s="23" t="n">
        <v>0.86</v>
      </c>
      <c r="C3" s="24" t="s">
        <v>43</v>
      </c>
      <c r="D3" s="25" t="str">
        <f aca="false">IF(B3&gt;=0.8,"Buena",IF(B3&gt;=0.5,"Regular","Baja"))</f>
        <v>Buena</v>
      </c>
    </row>
    <row r="4" customFormat="false" ht="15" hidden="false" customHeight="false" outlineLevel="0" collapsed="false">
      <c r="A4" s="22" t="s">
        <v>44</v>
      </c>
      <c r="B4" s="23" t="n">
        <v>1</v>
      </c>
      <c r="C4" s="24" t="s">
        <v>43</v>
      </c>
      <c r="D4" s="25" t="str">
        <f aca="false">IF(B4&gt;=0.8,"Buena",IF(B4&gt;=0.5,"Regular","Baja"))</f>
        <v>Buena</v>
      </c>
    </row>
  </sheetData>
  <conditionalFormatting sqref="B2:B4">
    <cfRule type="dataBar" priority="2">
      <dataBar showValue="1" minLength="10" maxLength="90">
        <cfvo type="num" val="0"/>
        <cfvo type="num" val="1"/>
        <color rgb="FF0C8174"/>
      </dataBar>
      <extLst>
        <ext xmlns:x14="http://schemas.microsoft.com/office/spreadsheetml/2009/9/main" uri="{B025F937-C7B1-47D3-B67F-A62EFF666E3E}">
          <x14:id>{9EC5C576-2A7F-4D74-A3F2-13C355DD2D4D}</x14:id>
        </ext>
      </extLst>
    </cfRule>
  </conditionalFormatting>
  <conditionalFormatting sqref="C2:C4">
    <cfRule type="cellIs" priority="3" operator="equal" aboveAverage="0" equalAverage="0" bottom="0" percent="0" rank="0" text="" dxfId="10">
      <formula>"Alto"</formula>
    </cfRule>
    <cfRule type="cellIs" priority="4" operator="equal" aboveAverage="0" equalAverage="0" bottom="0" percent="0" rank="0" text="" dxfId="11">
      <formula>"Moderado"</formula>
    </cfRule>
    <cfRule type="cellIs" priority="5" operator="equal" aboveAverage="0" equalAverage="0" bottom="0" percent="0" rank="0" text="" dxfId="9">
      <formula>"Bajo"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C5C576-2A7F-4D74-A3F2-13C355DD2D4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C8174"/>
              <x14:axisColor rgb="FF000000"/>
            </x14:dataBar>
          </x14:cfRule>
          <xm:sqref>B2:B4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2026-06-24T00:20:24Z</dcterms:created>
  <dc:creator>openpyxl</dc:creator>
  <dc:description/>
  <dc:language>en-US</dc:language>
  <cp:lastModifiedBy/>
  <dcterms:modified xsi:type="dcterms:W3CDTF">2026-06-24T00:20:26Z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